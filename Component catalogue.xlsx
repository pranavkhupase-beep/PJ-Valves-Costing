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<sst xmlns="http://schemas.openxmlformats.org/spreadsheetml/2006/main" count="241" uniqueCount="42">
  <si>
    <t>Valve Type</t>
  </si>
  <si>
    <t>Sub-Type</t>
  </si>
  <si>
    <t>Size / Class</t>
  </si>
  <si>
    <t>Category</t>
  </si>
  <si>
    <t>Component Name</t>
  </si>
  <si>
    <t>MOC</t>
  </si>
  <si>
    <t>Unit Cost (₹)</t>
  </si>
  <si>
    <t>Butterfly</t>
  </si>
  <si>
    <t>Double Offset</t>
  </si>
  <si>
    <t>4" 150#</t>
  </si>
  <si>
    <t>Main</t>
  </si>
  <si>
    <t>Body</t>
  </si>
  <si>
    <t>WCB</t>
  </si>
  <si>
    <t>CF8M</t>
  </si>
  <si>
    <t>5A</t>
  </si>
  <si>
    <t>C98500</t>
  </si>
  <si>
    <t>Disc</t>
  </si>
  <si>
    <t>Retainer Ring</t>
  </si>
  <si>
    <t xml:space="preserve">Non firesafe seat </t>
  </si>
  <si>
    <t>RPTFE</t>
  </si>
  <si>
    <t>Firesafe seat ring</t>
  </si>
  <si>
    <t>SS316</t>
  </si>
  <si>
    <t>F55</t>
  </si>
  <si>
    <t>Inc.625</t>
  </si>
  <si>
    <t>Stem</t>
  </si>
  <si>
    <t>17-4PH</t>
  </si>
  <si>
    <t>F316L</t>
  </si>
  <si>
    <t>F51</t>
  </si>
  <si>
    <t>F53</t>
  </si>
  <si>
    <t>MonelK500</t>
  </si>
  <si>
    <t>Gland Flange</t>
  </si>
  <si>
    <t>Bottom Flange</t>
  </si>
  <si>
    <t>Bracket</t>
  </si>
  <si>
    <t>Fastener</t>
  </si>
  <si>
    <t>Bolting Set</t>
  </si>
  <si>
    <t>B7/2H</t>
  </si>
  <si>
    <t>B8/8M</t>
  </si>
  <si>
    <t>Duplex</t>
  </si>
  <si>
    <t>Super Duplex</t>
  </si>
  <si>
    <t>Monel K500</t>
  </si>
  <si>
    <t>Other</t>
  </si>
  <si>
    <t>Other Components Bundle*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</si>
</sst>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rgb="FF000000"/>
      <name val="&quot;Google Sans Text&quot;"/>
    </font>
    <font>
      <i/>
      <color rgb="FF000000"/>
      <name val="&quot;Google Sans Text&quot;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0" fontId="2" numFmtId="0" xfId="0" applyAlignment="1" applyBorder="1" applyFont="1">
      <alignment readingOrder="0"/>
    </xf>
    <xf borderId="0" fillId="0" fontId="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1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2">
        <v>4361.1</v>
      </c>
    </row>
    <row r="3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  <c r="F3" s="1" t="s">
        <v>13</v>
      </c>
      <c r="G3" s="2">
        <v>7355.0</v>
      </c>
    </row>
    <row r="4">
      <c r="A4" s="1" t="s">
        <v>7</v>
      </c>
      <c r="B4" s="1" t="s">
        <v>8</v>
      </c>
      <c r="C4" s="1" t="s">
        <v>9</v>
      </c>
      <c r="D4" s="1" t="s">
        <v>10</v>
      </c>
      <c r="E4" s="1" t="s">
        <v>11</v>
      </c>
      <c r="F4" s="1" t="s">
        <v>14</v>
      </c>
      <c r="G4" s="2">
        <v>10646.35</v>
      </c>
    </row>
    <row r="5">
      <c r="A5" s="1" t="s">
        <v>7</v>
      </c>
      <c r="B5" s="1" t="s">
        <v>8</v>
      </c>
      <c r="C5" s="1" t="s">
        <v>9</v>
      </c>
      <c r="D5" s="1" t="s">
        <v>10</v>
      </c>
      <c r="E5" s="1" t="s">
        <v>11</v>
      </c>
      <c r="F5" s="1" t="s">
        <v>15</v>
      </c>
      <c r="G5" s="2">
        <v>24391.33</v>
      </c>
    </row>
    <row r="6">
      <c r="A6" s="1" t="s">
        <v>7</v>
      </c>
      <c r="B6" s="1" t="s">
        <v>8</v>
      </c>
      <c r="C6" s="1" t="s">
        <v>9</v>
      </c>
      <c r="D6" s="1" t="s">
        <v>10</v>
      </c>
      <c r="E6" s="1" t="s">
        <v>16</v>
      </c>
      <c r="F6" s="1" t="s">
        <v>12</v>
      </c>
      <c r="G6" s="2">
        <v>1253.0</v>
      </c>
    </row>
    <row r="7">
      <c r="A7" s="1" t="s">
        <v>7</v>
      </c>
      <c r="B7" s="1" t="s">
        <v>8</v>
      </c>
      <c r="C7" s="1" t="s">
        <v>9</v>
      </c>
      <c r="D7" s="1" t="s">
        <v>10</v>
      </c>
      <c r="E7" s="1" t="s">
        <v>16</v>
      </c>
      <c r="F7" s="1" t="s">
        <v>13</v>
      </c>
      <c r="G7" s="2">
        <v>1680.0</v>
      </c>
    </row>
    <row r="8">
      <c r="A8" s="1" t="s">
        <v>7</v>
      </c>
      <c r="B8" s="1" t="s">
        <v>8</v>
      </c>
      <c r="C8" s="1" t="s">
        <v>9</v>
      </c>
      <c r="D8" s="1" t="s">
        <v>10</v>
      </c>
      <c r="E8" s="1" t="s">
        <v>16</v>
      </c>
      <c r="F8" s="1" t="s">
        <v>14</v>
      </c>
      <c r="G8" s="2">
        <v>2499.0</v>
      </c>
    </row>
    <row r="9">
      <c r="A9" s="1" t="s">
        <v>7</v>
      </c>
      <c r="B9" s="1" t="s">
        <v>8</v>
      </c>
      <c r="C9" s="1" t="s">
        <v>9</v>
      </c>
      <c r="D9" s="1" t="s">
        <v>10</v>
      </c>
      <c r="E9" s="1" t="s">
        <v>16</v>
      </c>
      <c r="F9" s="1" t="s">
        <v>15</v>
      </c>
      <c r="G9" s="2">
        <v>4273.0</v>
      </c>
    </row>
    <row r="10">
      <c r="A10" s="1" t="s">
        <v>7</v>
      </c>
      <c r="B10" s="1" t="s">
        <v>8</v>
      </c>
      <c r="C10" s="1" t="s">
        <v>9</v>
      </c>
      <c r="D10" s="1" t="s">
        <v>10</v>
      </c>
      <c r="E10" s="1" t="s">
        <v>17</v>
      </c>
      <c r="F10" s="1" t="s">
        <v>12</v>
      </c>
      <c r="G10" s="2">
        <v>1087.0</v>
      </c>
    </row>
    <row r="11">
      <c r="A11" s="1" t="s">
        <v>7</v>
      </c>
      <c r="B11" s="1" t="s">
        <v>8</v>
      </c>
      <c r="C11" s="1" t="s">
        <v>9</v>
      </c>
      <c r="D11" s="1" t="s">
        <v>10</v>
      </c>
      <c r="E11" s="1" t="s">
        <v>17</v>
      </c>
      <c r="F11" s="1" t="s">
        <v>13</v>
      </c>
      <c r="G11" s="2">
        <v>1830.0</v>
      </c>
    </row>
    <row r="12">
      <c r="A12" s="1" t="s">
        <v>7</v>
      </c>
      <c r="B12" s="1" t="s">
        <v>8</v>
      </c>
      <c r="C12" s="1" t="s">
        <v>9</v>
      </c>
      <c r="D12" s="1" t="s">
        <v>10</v>
      </c>
      <c r="E12" s="1" t="s">
        <v>17</v>
      </c>
      <c r="F12" s="1" t="s">
        <v>14</v>
      </c>
      <c r="G12" s="2">
        <v>1525.0</v>
      </c>
    </row>
    <row r="13">
      <c r="A13" s="1" t="s">
        <v>7</v>
      </c>
      <c r="B13" s="1" t="s">
        <v>8</v>
      </c>
      <c r="C13" s="1" t="s">
        <v>9</v>
      </c>
      <c r="D13" s="1" t="s">
        <v>10</v>
      </c>
      <c r="E13" s="1" t="s">
        <v>17</v>
      </c>
      <c r="F13" s="1" t="s">
        <v>15</v>
      </c>
      <c r="G13" s="2">
        <v>5950.0</v>
      </c>
    </row>
    <row r="14">
      <c r="A14" s="1" t="s">
        <v>7</v>
      </c>
      <c r="B14" s="1" t="s">
        <v>8</v>
      </c>
      <c r="C14" s="1" t="s">
        <v>9</v>
      </c>
      <c r="D14" s="1" t="s">
        <v>10</v>
      </c>
      <c r="E14" s="1" t="s">
        <v>18</v>
      </c>
      <c r="F14" s="1" t="s">
        <v>19</v>
      </c>
      <c r="G14" s="2">
        <v>669.0</v>
      </c>
    </row>
    <row r="15">
      <c r="A15" s="1" t="s">
        <v>7</v>
      </c>
      <c r="B15" s="1" t="s">
        <v>8</v>
      </c>
      <c r="C15" s="1" t="s">
        <v>9</v>
      </c>
      <c r="D15" s="1" t="s">
        <v>10</v>
      </c>
      <c r="E15" s="1" t="s">
        <v>20</v>
      </c>
      <c r="F15" s="1" t="s">
        <v>21</v>
      </c>
      <c r="G15" s="2">
        <f>1153.8+G14</f>
        <v>1822.8</v>
      </c>
    </row>
    <row r="16">
      <c r="A16" s="1" t="s">
        <v>7</v>
      </c>
      <c r="B16" s="1" t="s">
        <v>8</v>
      </c>
      <c r="C16" s="1" t="s">
        <v>9</v>
      </c>
      <c r="D16" s="1" t="s">
        <v>10</v>
      </c>
      <c r="E16" s="1" t="s">
        <v>20</v>
      </c>
      <c r="F16" s="1" t="s">
        <v>22</v>
      </c>
      <c r="G16" s="2">
        <f>3125.4+G14</f>
        <v>3794.4</v>
      </c>
    </row>
    <row r="17">
      <c r="A17" s="1" t="s">
        <v>7</v>
      </c>
      <c r="B17" s="1" t="s">
        <v>8</v>
      </c>
      <c r="C17" s="1" t="s">
        <v>9</v>
      </c>
      <c r="D17" s="1" t="s">
        <v>10</v>
      </c>
      <c r="E17" s="1" t="s">
        <v>20</v>
      </c>
      <c r="F17" s="1" t="s">
        <v>23</v>
      </c>
      <c r="G17" s="2">
        <f>10709+G14</f>
        <v>11378</v>
      </c>
    </row>
    <row r="18">
      <c r="A18" s="1" t="s">
        <v>7</v>
      </c>
      <c r="B18" s="1" t="s">
        <v>8</v>
      </c>
      <c r="C18" s="1" t="s">
        <v>9</v>
      </c>
      <c r="D18" s="1" t="s">
        <v>10</v>
      </c>
      <c r="E18" s="1" t="s">
        <v>24</v>
      </c>
      <c r="F18" s="1" t="s">
        <v>25</v>
      </c>
      <c r="G18" s="2">
        <v>565.7</v>
      </c>
    </row>
    <row r="19">
      <c r="A19" s="1" t="s">
        <v>7</v>
      </c>
      <c r="B19" s="1" t="s">
        <v>8</v>
      </c>
      <c r="C19" s="1" t="s">
        <v>9</v>
      </c>
      <c r="D19" s="1" t="s">
        <v>10</v>
      </c>
      <c r="E19" s="1" t="s">
        <v>24</v>
      </c>
      <c r="F19" s="1" t="s">
        <v>26</v>
      </c>
      <c r="G19" s="2">
        <v>655.4</v>
      </c>
    </row>
    <row r="20">
      <c r="A20" s="1" t="s">
        <v>7</v>
      </c>
      <c r="B20" s="1" t="s">
        <v>8</v>
      </c>
      <c r="C20" s="1" t="s">
        <v>9</v>
      </c>
      <c r="D20" s="1" t="s">
        <v>10</v>
      </c>
      <c r="E20" s="1" t="s">
        <v>24</v>
      </c>
      <c r="F20" s="1" t="s">
        <v>27</v>
      </c>
      <c r="G20" s="2">
        <v>1010.3</v>
      </c>
    </row>
    <row r="21">
      <c r="A21" s="1" t="s">
        <v>7</v>
      </c>
      <c r="B21" s="1" t="s">
        <v>8</v>
      </c>
      <c r="C21" s="1" t="s">
        <v>9</v>
      </c>
      <c r="D21" s="1" t="s">
        <v>10</v>
      </c>
      <c r="E21" s="1" t="s">
        <v>24</v>
      </c>
      <c r="F21" s="1" t="s">
        <v>28</v>
      </c>
      <c r="G21" s="2">
        <v>1606.4</v>
      </c>
    </row>
    <row r="22">
      <c r="A22" s="1" t="s">
        <v>7</v>
      </c>
      <c r="B22" s="1" t="s">
        <v>8</v>
      </c>
      <c r="C22" s="1" t="s">
        <v>9</v>
      </c>
      <c r="D22" s="1" t="s">
        <v>10</v>
      </c>
      <c r="E22" s="1" t="s">
        <v>24</v>
      </c>
      <c r="F22" s="1" t="s">
        <v>29</v>
      </c>
      <c r="G22" s="2">
        <v>3328.7</v>
      </c>
    </row>
    <row r="23">
      <c r="A23" s="1" t="s">
        <v>7</v>
      </c>
      <c r="B23" s="1" t="s">
        <v>8</v>
      </c>
      <c r="C23" s="1" t="s">
        <v>9</v>
      </c>
      <c r="D23" s="1" t="s">
        <v>10</v>
      </c>
      <c r="E23" s="1" t="s">
        <v>30</v>
      </c>
      <c r="F23" s="1" t="s">
        <v>12</v>
      </c>
      <c r="G23" s="2">
        <v>37.0</v>
      </c>
    </row>
    <row r="24">
      <c r="A24" s="1" t="s">
        <v>7</v>
      </c>
      <c r="B24" s="1" t="s">
        <v>8</v>
      </c>
      <c r="C24" s="1" t="s">
        <v>9</v>
      </c>
      <c r="D24" s="1" t="s">
        <v>10</v>
      </c>
      <c r="E24" s="1" t="s">
        <v>30</v>
      </c>
      <c r="F24" s="1" t="s">
        <v>13</v>
      </c>
      <c r="G24" s="2">
        <v>71.0</v>
      </c>
    </row>
    <row r="25">
      <c r="A25" s="1" t="s">
        <v>7</v>
      </c>
      <c r="B25" s="1" t="s">
        <v>8</v>
      </c>
      <c r="C25" s="1" t="s">
        <v>9</v>
      </c>
      <c r="D25" s="1" t="s">
        <v>10</v>
      </c>
      <c r="E25" s="1" t="s">
        <v>30</v>
      </c>
      <c r="F25" s="1" t="s">
        <v>14</v>
      </c>
      <c r="G25" s="2">
        <v>98.0</v>
      </c>
    </row>
    <row r="26">
      <c r="A26" s="1" t="s">
        <v>7</v>
      </c>
      <c r="B26" s="1" t="s">
        <v>8</v>
      </c>
      <c r="C26" s="1" t="s">
        <v>9</v>
      </c>
      <c r="D26" s="1" t="s">
        <v>10</v>
      </c>
      <c r="E26" s="1" t="s">
        <v>30</v>
      </c>
      <c r="F26" s="1" t="s">
        <v>15</v>
      </c>
      <c r="G26" s="2">
        <v>266.0</v>
      </c>
    </row>
    <row r="27">
      <c r="A27" s="3" t="s">
        <v>7</v>
      </c>
      <c r="B27" s="3" t="s">
        <v>8</v>
      </c>
      <c r="C27" s="3" t="s">
        <v>9</v>
      </c>
      <c r="D27" s="3" t="s">
        <v>10</v>
      </c>
      <c r="E27" s="3" t="s">
        <v>31</v>
      </c>
      <c r="F27" s="3" t="s">
        <v>12</v>
      </c>
      <c r="G27" s="3">
        <v>485.2</v>
      </c>
    </row>
    <row r="28">
      <c r="A28" s="3" t="s">
        <v>7</v>
      </c>
      <c r="B28" s="3" t="s">
        <v>8</v>
      </c>
      <c r="C28" s="3" t="s">
        <v>9</v>
      </c>
      <c r="D28" s="3" t="s">
        <v>10</v>
      </c>
      <c r="E28" s="3" t="s">
        <v>31</v>
      </c>
      <c r="F28" s="3" t="s">
        <v>13</v>
      </c>
      <c r="G28" s="3">
        <v>627.8</v>
      </c>
    </row>
    <row r="29">
      <c r="A29" s="3" t="s">
        <v>7</v>
      </c>
      <c r="B29" s="3" t="s">
        <v>8</v>
      </c>
      <c r="C29" s="3" t="s">
        <v>9</v>
      </c>
      <c r="D29" s="3" t="s">
        <v>10</v>
      </c>
      <c r="E29" s="3" t="s">
        <v>31</v>
      </c>
      <c r="F29" s="3" t="s">
        <v>14</v>
      </c>
      <c r="G29" s="3">
        <v>903.2</v>
      </c>
    </row>
    <row r="30">
      <c r="A30" s="3" t="s">
        <v>7</v>
      </c>
      <c r="B30" s="3" t="s">
        <v>8</v>
      </c>
      <c r="C30" s="3" t="s">
        <v>9</v>
      </c>
      <c r="D30" s="3" t="s">
        <v>10</v>
      </c>
      <c r="E30" s="3" t="s">
        <v>31</v>
      </c>
      <c r="F30" s="3" t="s">
        <v>15</v>
      </c>
      <c r="G30" s="3">
        <v>1346.0</v>
      </c>
    </row>
    <row r="31">
      <c r="A31" s="3" t="s">
        <v>7</v>
      </c>
      <c r="B31" s="3" t="s">
        <v>8</v>
      </c>
      <c r="C31" s="3" t="s">
        <v>9</v>
      </c>
      <c r="D31" s="3" t="s">
        <v>10</v>
      </c>
      <c r="E31" s="3" t="s">
        <v>32</v>
      </c>
      <c r="F31" s="3" t="s">
        <v>13</v>
      </c>
      <c r="G31" s="3">
        <v>213.0</v>
      </c>
    </row>
    <row r="32">
      <c r="A32" s="3" t="s">
        <v>7</v>
      </c>
      <c r="B32" s="3" t="s">
        <v>8</v>
      </c>
      <c r="C32" s="3" t="s">
        <v>9</v>
      </c>
      <c r="D32" s="3" t="s">
        <v>33</v>
      </c>
      <c r="E32" s="3" t="s">
        <v>34</v>
      </c>
      <c r="F32" s="3" t="s">
        <v>35</v>
      </c>
      <c r="G32" s="3">
        <v>417.0</v>
      </c>
    </row>
    <row r="33">
      <c r="A33" s="3" t="s">
        <v>7</v>
      </c>
      <c r="B33" s="3" t="s">
        <v>8</v>
      </c>
      <c r="C33" s="3" t="s">
        <v>9</v>
      </c>
      <c r="D33" s="3" t="s">
        <v>33</v>
      </c>
      <c r="E33" s="3" t="s">
        <v>34</v>
      </c>
      <c r="F33" s="3" t="s">
        <v>36</v>
      </c>
      <c r="G33" s="3">
        <v>417.0</v>
      </c>
    </row>
    <row r="34">
      <c r="A34" s="3" t="s">
        <v>7</v>
      </c>
      <c r="B34" s="3" t="s">
        <v>8</v>
      </c>
      <c r="C34" s="3" t="s">
        <v>9</v>
      </c>
      <c r="D34" s="3" t="s">
        <v>33</v>
      </c>
      <c r="E34" s="3" t="s">
        <v>34</v>
      </c>
      <c r="F34" s="3" t="s">
        <v>37</v>
      </c>
      <c r="G34" s="3">
        <v>981.0</v>
      </c>
    </row>
    <row r="35">
      <c r="A35" s="3" t="s">
        <v>7</v>
      </c>
      <c r="B35" s="3" t="s">
        <v>8</v>
      </c>
      <c r="C35" s="3" t="s">
        <v>9</v>
      </c>
      <c r="D35" s="3" t="s">
        <v>33</v>
      </c>
      <c r="E35" s="3" t="s">
        <v>34</v>
      </c>
      <c r="F35" s="3" t="s">
        <v>38</v>
      </c>
      <c r="G35" s="3">
        <v>1921.0</v>
      </c>
    </row>
    <row r="36">
      <c r="A36" s="3" t="s">
        <v>7</v>
      </c>
      <c r="B36" s="3" t="s">
        <v>8</v>
      </c>
      <c r="C36" s="3" t="s">
        <v>9</v>
      </c>
      <c r="D36" s="3" t="s">
        <v>33</v>
      </c>
      <c r="E36" s="3" t="s">
        <v>34</v>
      </c>
      <c r="F36" s="3" t="s">
        <v>39</v>
      </c>
      <c r="G36" s="3">
        <v>5004.2</v>
      </c>
    </row>
    <row r="37">
      <c r="A37" s="3" t="s">
        <v>7</v>
      </c>
      <c r="B37" s="3" t="s">
        <v>8</v>
      </c>
      <c r="C37" s="3" t="s">
        <v>9</v>
      </c>
      <c r="D37" s="3" t="s">
        <v>40</v>
      </c>
      <c r="E37" s="3" t="s">
        <v>41</v>
      </c>
      <c r="F37" s="3" t="s">
        <v>12</v>
      </c>
      <c r="G37" s="3">
        <f t="shared" ref="G37:G38" si="1">2421.5-G32</f>
        <v>2004.5</v>
      </c>
    </row>
    <row r="38">
      <c r="A38" s="3" t="s">
        <v>7</v>
      </c>
      <c r="B38" s="3" t="s">
        <v>8</v>
      </c>
      <c r="C38" s="3" t="s">
        <v>9</v>
      </c>
      <c r="D38" s="3" t="s">
        <v>40</v>
      </c>
      <c r="E38" s="3" t="s">
        <v>41</v>
      </c>
      <c r="F38" s="3" t="s">
        <v>13</v>
      </c>
      <c r="G38" s="3">
        <f t="shared" si="1"/>
        <v>2004.5</v>
      </c>
    </row>
    <row r="39">
      <c r="A39" s="3" t="s">
        <v>7</v>
      </c>
      <c r="B39" s="3" t="s">
        <v>8</v>
      </c>
      <c r="C39" s="3" t="s">
        <v>9</v>
      </c>
      <c r="D39" s="3" t="s">
        <v>40</v>
      </c>
      <c r="E39" s="3" t="s">
        <v>41</v>
      </c>
      <c r="F39" s="3" t="s">
        <v>14</v>
      </c>
      <c r="G39" s="3">
        <f>4775.9-G35</f>
        <v>2854.9</v>
      </c>
    </row>
    <row r="40">
      <c r="A40" s="3" t="s">
        <v>7</v>
      </c>
      <c r="B40" s="3" t="s">
        <v>8</v>
      </c>
      <c r="C40" s="3" t="s">
        <v>9</v>
      </c>
      <c r="D40" s="3" t="s">
        <v>40</v>
      </c>
      <c r="E40" s="3" t="s">
        <v>41</v>
      </c>
      <c r="F40" s="3" t="s">
        <v>15</v>
      </c>
      <c r="G40" s="3">
        <f>9102.8-G36</f>
        <v>4098.6</v>
      </c>
    </row>
  </sheetData>
  <drawing r:id="rId1"/>
</worksheet>
</file>